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v\Documents\Repositories\computergraphicsassignments\Bachelor\final_project2_ray_tracing\Text\"/>
    </mc:Choice>
  </mc:AlternateContent>
  <xr:revisionPtr revIDLastSave="0" documentId="8_{BAAB7A34-7BDE-4F79-AE6F-4AF2D3FCB7B6}" xr6:coauthVersionLast="47" xr6:coauthVersionMax="47" xr10:uidLastSave="{00000000-0000-0000-0000-000000000000}"/>
  <bookViews>
    <workbookView xWindow="10718" yWindow="0" windowWidth="10965" windowHeight="13763" tabRatio="500" xr2:uid="{00000000-000D-0000-FFFF-FFFF00000000}"/>
  </bookViews>
  <sheets>
    <sheet name="workload" sheetId="1" r:id="rId1"/>
    <sheet name="_56F9DC9755BA473782653E2940F9" sheetId="2" state="hidden" r:id="rId2"/>
  </sheets>
  <definedNames>
    <definedName name="_56F9DC9755BA473782653E2940F9FormId">"TVJuCSlpMECM04q0LeCIezuP1cwF6_FBoiqTNqy2CiBUMTNJR0JBTDFWUEc1NDBCRDhWTk01RDhYOSQlQCN0PWcu"</definedName>
    <definedName name="_56F9DC9755BA473782653E2940F9ResponseSheet">"Form1"</definedName>
    <definedName name="_56F9DC9755BA473782653E2940F9SourceDocId">"{1ec53893-4bf9-4845-bb1e-7f11035496d8}"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1" l="1"/>
  <c r="E25" i="1"/>
  <c r="D25" i="1"/>
  <c r="C25" i="1"/>
  <c r="G24" i="1"/>
  <c r="G23" i="1"/>
  <c r="G22" i="1"/>
  <c r="G21" i="1"/>
  <c r="G20" i="1"/>
  <c r="G19" i="1"/>
  <c r="F16" i="1"/>
  <c r="E16" i="1"/>
  <c r="D16" i="1"/>
  <c r="C16" i="1"/>
  <c r="G15" i="1"/>
  <c r="G14" i="1"/>
  <c r="G13" i="1"/>
  <c r="G12" i="1"/>
  <c r="G11" i="1"/>
  <c r="G10" i="1"/>
  <c r="G9" i="1"/>
  <c r="G8" i="1"/>
  <c r="D26" i="1" l="1"/>
  <c r="E26" i="1"/>
  <c r="F26" i="1"/>
</calcChain>
</file>

<file path=xl/sharedStrings.xml><?xml version="1.0" encoding="utf-8"?>
<sst xmlns="http://schemas.openxmlformats.org/spreadsheetml/2006/main" count="34" uniqueCount="30">
  <si>
    <t>FILL IN THE BLUE BOXES ONLY</t>
  </si>
  <si>
    <t>Fill in the percentages with integer values in range [0-100]</t>
  </si>
  <si>
    <t>member 1</t>
  </si>
  <si>
    <t>member 2</t>
  </si>
  <si>
    <t>member 3</t>
  </si>
  <si>
    <t>Jasper van Arkel</t>
  </si>
  <si>
    <t>Alexandru Şologon</t>
  </si>
  <si>
    <t>Ruben Schnell</t>
  </si>
  <si>
    <t>basic features</t>
  </si>
  <si>
    <t>points</t>
  </si>
  <si>
    <t>total</t>
  </si>
  <si>
    <t>generation and traversal of acceleration data-structure</t>
  </si>
  <si>
    <t>implementation of shading models</t>
  </si>
  <si>
    <t>implementation of recursive ray reflections</t>
  </si>
  <si>
    <t>implementation of recursive ray transparency</t>
  </si>
  <si>
    <t>normal interpolation with barycentric coordinates</t>
  </si>
  <si>
    <t>implementation of texture mapping</t>
  </si>
  <si>
    <t>implementation of lights and shadows</t>
  </si>
  <si>
    <t>implementation of multisampling</t>
  </si>
  <si>
    <t>extra features</t>
  </si>
  <si>
    <t>Environment maps</t>
  </si>
  <si>
    <t>SAH+binning as splitting criterion for BVH</t>
  </si>
  <si>
    <t>Motion blur</t>
  </si>
  <si>
    <t>Bloom filter</t>
  </si>
  <si>
    <t>Glossy reflections</t>
  </si>
  <si>
    <t>Depth of field</t>
  </si>
  <si>
    <t>total (basic + extra)</t>
  </si>
  <si>
    <t>TVJuCSlpMECM04q0LeCIezuP1cwF6_FBoiqTNqy2CiBUMTNJR0JBTDFWUEc1NDBCRDhWTk01RDhYOSQlQCN0PWcu</t>
  </si>
  <si>
    <t>Form1</t>
  </si>
  <si>
    <t>{1ec53893-4bf9-4845-bb1e-7f11035496d8}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</si>
</sst>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2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5" fillId="0" borderId="3" xfId="0" applyFont="1" applyBorder="1" applyAlignment="1">
      <alignment horizontal="center" vertical="center" wrapText="1"/>
    </xf>
    <xf numFmtId="0" fontId="0" fillId="2" borderId="4" xfId="0" applyFill="1" applyBorder="1"/>
    <xf numFmtId="0" fontId="6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49" fontId="0" fillId="0" borderId="0" xfId="0" applyNumberFormat="1"/>
    <xf numFmtId="2" fontId="3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2" fontId="4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5" fillId="0" borderId="3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Normal="100" workbookViewId="0">
      <selection activeCell="B4" sqref="B4"/>
    </sheetView>
  </sheetViews>
  <sheetFormatPr defaultColWidth="8.85546875" defaultRowHeight="14.25"/>
  <cols>
    <col min="1" max="1" width="12.28515625" customWidth="1"/>
    <col min="2" max="2" width="48.42578125" style="1" customWidth="1"/>
    <col min="3" max="3" width="48.42578125" style="31" customWidth="1"/>
    <col min="4" max="4" width="21.140625" customWidth="1"/>
    <col min="5" max="5" width="22.42578125" customWidth="1"/>
    <col min="6" max="6" width="22.85546875" customWidth="1"/>
    <col min="7" max="7" width="13.85546875" customWidth="1"/>
    <col min="8" max="8" width="12.5703125" customWidth="1"/>
    <col min="10" max="10" width="11" customWidth="1"/>
    <col min="11" max="11" width="10.5703125" customWidth="1"/>
  </cols>
  <sheetData>
    <row r="1" spans="1:7" ht="18">
      <c r="B1" s="36" t="s">
        <v>0</v>
      </c>
      <c r="C1" s="36"/>
      <c r="D1" s="36"/>
      <c r="E1" s="36"/>
      <c r="F1" s="36"/>
    </row>
    <row r="2" spans="1:7" ht="15.75">
      <c r="B2" s="37" t="s">
        <v>1</v>
      </c>
      <c r="C2" s="37"/>
      <c r="D2" s="37"/>
      <c r="E2" s="37"/>
      <c r="F2" s="37"/>
    </row>
    <row r="3" spans="1:7" ht="15.75">
      <c r="B3" s="2"/>
      <c r="C3" s="24"/>
    </row>
    <row r="4" spans="1:7">
      <c r="A4" s="3"/>
      <c r="B4" s="3"/>
      <c r="C4" s="25"/>
      <c r="D4" s="1" t="s">
        <v>2</v>
      </c>
      <c r="E4" s="1" t="s">
        <v>3</v>
      </c>
      <c r="F4" s="1" t="s">
        <v>4</v>
      </c>
    </row>
    <row r="5" spans="1:7" ht="15">
      <c r="A5" s="3"/>
      <c r="B5" s="3"/>
      <c r="C5" s="25"/>
      <c r="D5" s="4">
        <v>5744598</v>
      </c>
      <c r="E5" s="4">
        <v>5536111</v>
      </c>
      <c r="F5" s="4">
        <v>5818915</v>
      </c>
    </row>
    <row r="6" spans="1:7">
      <c r="A6" s="3"/>
      <c r="B6" s="3"/>
      <c r="C6" s="25"/>
      <c r="D6" s="4" t="s">
        <v>5</v>
      </c>
      <c r="E6" s="4" t="s">
        <v>6</v>
      </c>
      <c r="F6" s="4" t="s">
        <v>7</v>
      </c>
    </row>
    <row r="7" spans="1:7">
      <c r="A7" s="3"/>
      <c r="B7" s="5" t="s">
        <v>8</v>
      </c>
      <c r="C7" s="26" t="s">
        <v>9</v>
      </c>
      <c r="D7" s="6"/>
      <c r="E7" s="6"/>
      <c r="F7" s="7"/>
      <c r="G7" s="8" t="s">
        <v>10</v>
      </c>
    </row>
    <row r="8" spans="1:7">
      <c r="B8" s="9" t="s">
        <v>11</v>
      </c>
      <c r="C8" s="27">
        <v>6</v>
      </c>
      <c r="D8" s="10">
        <v>100</v>
      </c>
      <c r="E8" s="10">
        <v>0</v>
      </c>
      <c r="F8" s="11">
        <v>0</v>
      </c>
      <c r="G8" s="6">
        <f t="shared" ref="G8:G15" si="0">SUM(D8:F8)</f>
        <v>100</v>
      </c>
    </row>
    <row r="9" spans="1:7">
      <c r="B9" s="9" t="s">
        <v>12</v>
      </c>
      <c r="C9" s="27">
        <v>1</v>
      </c>
      <c r="D9" s="10">
        <v>0</v>
      </c>
      <c r="E9" s="10">
        <v>100</v>
      </c>
      <c r="F9" s="11">
        <v>0</v>
      </c>
      <c r="G9" s="6">
        <f t="shared" si="0"/>
        <v>100</v>
      </c>
    </row>
    <row r="10" spans="1:7">
      <c r="B10" s="12" t="s">
        <v>13</v>
      </c>
      <c r="C10" s="28">
        <v>1</v>
      </c>
      <c r="D10" s="10">
        <v>0</v>
      </c>
      <c r="E10" s="10">
        <v>0</v>
      </c>
      <c r="F10" s="11">
        <v>100</v>
      </c>
      <c r="G10" s="6">
        <f t="shared" si="0"/>
        <v>100</v>
      </c>
    </row>
    <row r="11" spans="1:7">
      <c r="B11" s="12" t="s">
        <v>14</v>
      </c>
      <c r="C11" s="28">
        <v>1</v>
      </c>
      <c r="D11" s="10">
        <v>0</v>
      </c>
      <c r="E11" s="10">
        <v>100</v>
      </c>
      <c r="F11" s="11">
        <v>0</v>
      </c>
      <c r="G11" s="6">
        <f t="shared" si="0"/>
        <v>100</v>
      </c>
    </row>
    <row r="12" spans="1:7">
      <c r="B12" s="13" t="s">
        <v>15</v>
      </c>
      <c r="C12" s="29">
        <v>0.75</v>
      </c>
      <c r="D12" s="10">
        <v>0</v>
      </c>
      <c r="E12" s="10">
        <v>100</v>
      </c>
      <c r="F12" s="11">
        <v>0</v>
      </c>
      <c r="G12" s="6">
        <f t="shared" si="0"/>
        <v>100</v>
      </c>
    </row>
    <row r="13" spans="1:7">
      <c r="B13" s="13" t="s">
        <v>16</v>
      </c>
      <c r="C13" s="29">
        <v>1.5</v>
      </c>
      <c r="D13" s="10">
        <v>0</v>
      </c>
      <c r="E13" s="10">
        <v>100</v>
      </c>
      <c r="F13" s="11">
        <v>0</v>
      </c>
      <c r="G13" s="6">
        <f t="shared" si="0"/>
        <v>100</v>
      </c>
    </row>
    <row r="14" spans="1:7">
      <c r="B14" s="13" t="s">
        <v>17</v>
      </c>
      <c r="C14" s="29">
        <v>5</v>
      </c>
      <c r="D14" s="10">
        <v>0</v>
      </c>
      <c r="E14" s="10">
        <v>0</v>
      </c>
      <c r="F14" s="11">
        <v>100</v>
      </c>
      <c r="G14" s="6">
        <f t="shared" si="0"/>
        <v>100</v>
      </c>
    </row>
    <row r="15" spans="1:7">
      <c r="B15" s="13" t="s">
        <v>18</v>
      </c>
      <c r="C15" s="29">
        <v>1.75</v>
      </c>
      <c r="D15" s="10">
        <v>0</v>
      </c>
      <c r="E15" s="10">
        <v>100</v>
      </c>
      <c r="F15" s="11">
        <v>0</v>
      </c>
      <c r="G15" s="6">
        <f t="shared" si="0"/>
        <v>100</v>
      </c>
    </row>
    <row r="16" spans="1:7">
      <c r="A16" s="14"/>
      <c r="B16" s="15" t="s">
        <v>10</v>
      </c>
      <c r="C16" s="30">
        <f>SUM(C8:C15)</f>
        <v>18</v>
      </c>
      <c r="D16" s="16">
        <f>SUMPRODUCT(C8:C15,D8:D15)/100</f>
        <v>6</v>
      </c>
      <c r="E16" s="16">
        <f>SUMPRODUCT($C8:$C15,E8:E15)/100</f>
        <v>6</v>
      </c>
      <c r="F16" s="16">
        <f>SUMPRODUCT($C8:$C15,F8:F15)/100</f>
        <v>6</v>
      </c>
    </row>
    <row r="17" spans="1:7">
      <c r="A17" s="14"/>
      <c r="B17" s="14"/>
    </row>
    <row r="18" spans="1:7">
      <c r="A18" s="14"/>
      <c r="B18" s="17" t="s">
        <v>19</v>
      </c>
      <c r="C18" s="32" t="s">
        <v>9</v>
      </c>
      <c r="D18" s="6"/>
      <c r="E18" s="6"/>
      <c r="F18" s="7"/>
      <c r="G18" s="8" t="s">
        <v>10</v>
      </c>
    </row>
    <row r="19" spans="1:7" ht="15">
      <c r="A19" s="14"/>
      <c r="B19" s="9" t="s">
        <v>20</v>
      </c>
      <c r="C19" s="27">
        <v>1.5</v>
      </c>
      <c r="D19" s="18">
        <v>100</v>
      </c>
      <c r="E19" s="35">
        <v>0</v>
      </c>
      <c r="F19" s="11">
        <v>0</v>
      </c>
      <c r="G19" s="6">
        <f t="shared" ref="G19:G24" si="1">SUM(D19:F19)</f>
        <v>100</v>
      </c>
    </row>
    <row r="20" spans="1:7">
      <c r="B20" s="9" t="s">
        <v>21</v>
      </c>
      <c r="C20" s="27">
        <v>2</v>
      </c>
      <c r="D20" s="18">
        <v>100</v>
      </c>
      <c r="E20" s="10">
        <v>0</v>
      </c>
      <c r="F20" s="11">
        <v>0</v>
      </c>
      <c r="G20" s="6">
        <f t="shared" si="1"/>
        <v>100</v>
      </c>
    </row>
    <row r="21" spans="1:7">
      <c r="B21" s="9" t="s">
        <v>22</v>
      </c>
      <c r="C21" s="27">
        <v>4.5</v>
      </c>
      <c r="D21" s="18">
        <v>0</v>
      </c>
      <c r="E21" s="10">
        <v>0</v>
      </c>
      <c r="F21" s="11">
        <v>100</v>
      </c>
      <c r="G21" s="6">
        <f t="shared" si="1"/>
        <v>100</v>
      </c>
    </row>
    <row r="22" spans="1:7" ht="15">
      <c r="B22" s="9" t="s">
        <v>23</v>
      </c>
      <c r="C22" s="27">
        <v>1.5</v>
      </c>
      <c r="D22" s="18">
        <v>100</v>
      </c>
      <c r="E22" s="35">
        <v>0</v>
      </c>
      <c r="F22" s="11">
        <v>0</v>
      </c>
      <c r="G22" s="6">
        <f t="shared" si="1"/>
        <v>100</v>
      </c>
    </row>
    <row r="23" spans="1:7" ht="15">
      <c r="B23" s="9" t="s">
        <v>24</v>
      </c>
      <c r="C23" s="27">
        <v>1</v>
      </c>
      <c r="D23" s="35">
        <v>0</v>
      </c>
      <c r="E23" s="10">
        <v>100</v>
      </c>
      <c r="F23" s="11">
        <v>0</v>
      </c>
      <c r="G23" s="6">
        <f t="shared" si="1"/>
        <v>100</v>
      </c>
    </row>
    <row r="24" spans="1:7">
      <c r="B24" s="9" t="s">
        <v>25</v>
      </c>
      <c r="C24" s="27">
        <v>3.5</v>
      </c>
      <c r="D24" s="18">
        <v>0</v>
      </c>
      <c r="E24" s="10">
        <v>100</v>
      </c>
      <c r="F24" s="11">
        <v>0</v>
      </c>
      <c r="G24" s="6">
        <f t="shared" si="1"/>
        <v>100</v>
      </c>
    </row>
    <row r="25" spans="1:7">
      <c r="B25" s="19" t="s">
        <v>10</v>
      </c>
      <c r="C25" s="33">
        <f>SUM(C19:C24)</f>
        <v>14</v>
      </c>
      <c r="D25" s="16">
        <f>SUMPRODUCT($C19:$C24,D19:D24)/100</f>
        <v>5</v>
      </c>
      <c r="E25" s="16">
        <f>SUMPRODUCT($C19:$C24,E19:E24)/100</f>
        <v>4.5</v>
      </c>
      <c r="F25" s="16">
        <f>SUMPRODUCT($C19:$C24,F19:F24)/100</f>
        <v>4.5</v>
      </c>
    </row>
    <row r="26" spans="1:7">
      <c r="B26" s="20" t="s">
        <v>26</v>
      </c>
      <c r="C26" s="34"/>
      <c r="D26" s="21">
        <f>D$16+D25</f>
        <v>11</v>
      </c>
      <c r="E26" s="21">
        <f>E$16+E25</f>
        <v>10.5</v>
      </c>
      <c r="F26" s="22">
        <f>F$16+F25</f>
        <v>10.5</v>
      </c>
    </row>
  </sheetData>
  <mergeCells count="2">
    <mergeCell ref="B1:F1"/>
    <mergeCell ref="B2:F2"/>
  </mergeCells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zoomScaleNormal="100" workbookViewId="0"/>
  </sheetViews>
  <sheetFormatPr defaultColWidth="8.85546875" defaultRowHeight="14.25"/>
  <sheetData>
    <row r="1" spans="1:1">
      <c r="A1" s="23" t="s">
        <v>27</v>
      </c>
    </row>
    <row r="2" spans="1:1">
      <c r="A2" s="23" t="s">
        <v>28</v>
      </c>
    </row>
    <row r="3" spans="1:1">
      <c r="A3" s="23" t="s">
        <v>29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4</cp:revision>
  <dcterms:created xsi:type="dcterms:W3CDTF">2006-09-16T00:00:00Z</dcterms:created>
  <dcterms:modified xsi:type="dcterms:W3CDTF">2023-10-17T21:01:34Z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0x010100057D6885898CA9489673DE437D0EB755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